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energy/input/load_emulator/input_emulator_v2/"/>
    </mc:Choice>
  </mc:AlternateContent>
  <xr:revisionPtr revIDLastSave="1040" documentId="11_F25DC773A252ABDACC1048A8291C5FB25ADE58F7" xr6:coauthVersionLast="47" xr6:coauthVersionMax="47" xr10:uidLastSave="{D5572848-43B9-46F0-8687-D788D81B3CCF}"/>
  <bookViews>
    <workbookView xWindow="28680" yWindow="-120" windowWidth="29040" windowHeight="15720" tabRatio="708" xr2:uid="{00000000-000D-0000-FFFF-FFFF00000000}"/>
  </bookViews>
  <sheets>
    <sheet name="clusters_distribution" sheetId="1" r:id="rId1"/>
    <sheet name="clusters_equipment" sheetId="2" r:id="rId2"/>
    <sheet name="clusters_equipment_multi" sheetId="7" r:id="rId3"/>
    <sheet name="monthly_usage_probabilit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tc={18778F8A-622C-4A32-A415-510A6BEF5C4A}</author>
    <author>tc={D4D25116-92E2-4F78-8010-BF7F1BD55086}</author>
    <author>tc={2F5166B5-1BC0-487F-87BB-8366FD57D64D}</author>
    <author>tc={4C07C6BF-493D-48D0-8825-2913C57E620F}</author>
    <author>tc={95B473DF-5EA0-4072-B863-AB402273D0E4}</author>
    <author>tc={DC63A6DC-43FB-4AF7-BDD1-B0933EF8579D}</author>
    <author>tc={131E077D-E7F6-48E4-8360-E3CE54DED26B}</author>
    <author>tc={46B69451-6FB2-424C-A35A-94BF42E21208}</author>
    <author>tc={1D141503-8DE8-4F72-9C53-DA5924D9B2A7}</author>
    <author>tc={7297565B-EDFB-4C2E-AD77-BE1C1FE29590}</author>
    <author>tc={B7415F4F-EE97-45AA-B002-CF114B0B20E5}</author>
  </authors>
  <commentList>
    <comment ref="C1" authorId="0" shapeId="0" xr:uid="{18778F8A-622C-4A32-A415-510A6BEF5C4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Dati Istat</t>
      </text>
    </comment>
    <comment ref="E1" authorId="1" shapeId="0" xr:uid="{D4D25116-92E2-4F78-8010-BF7F1BD5508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fixed value</t>
      </text>
    </comment>
    <comment ref="F1" authorId="2" shapeId="0" xr:uid="{2F5166B5-1BC0-487F-87BB-8366FD57D64D}">
      <text>
        <t>[Threaded comment]
Your version of Excel allows you to read this threaded comment; however, any edits to it will get removed if the file is opened in a newer version of Excel. Learn more: https://go.microsoft.com/fwlink/?linkid=870924
Comment:
    Mean spread of printers in Italy</t>
      </text>
    </comment>
    <comment ref="G1" authorId="3" shapeId="0" xr:uid="{4C07C6BF-493D-48D0-8825-2913C57E620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Dati Enea</t>
      </text>
    </comment>
    <comment ref="K1" authorId="4" shapeId="0" xr:uid="{95B473DF-5EA0-4072-B863-AB402273D0E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Dati Enea e Istat integrati</t>
      </text>
    </comment>
    <comment ref="O1" authorId="5" shapeId="0" xr:uid="{DC63A6DC-43FB-4AF7-BDD1-B0933EF8579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Dati Istat e AGCOM</t>
      </text>
    </comment>
    <comment ref="Q1" authorId="6" shapeId="0" xr:uid="{131E077D-E7F6-48E4-8360-E3CE54DED26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Dati Istat e Enea</t>
      </text>
    </comment>
    <comment ref="R1" authorId="7" shapeId="0" xr:uid="{46B69451-6FB2-424C-A35A-94BF42E212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available information: equal to toaster</t>
      </text>
    </comment>
    <comment ref="AA1" authorId="8" shapeId="0" xr:uid="{1D141503-8DE8-4F72-9C53-DA5924D9B2A7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computer</t>
      </text>
    </comment>
    <comment ref="AE1" authorId="9" shapeId="0" xr:uid="{7297565B-EDFB-4C2E-AD77-BE1C1FE29590}">
      <text>
        <t>[Threaded comment]
Your version of Excel allows you to read this threaded comment; however, any edits to it will get removed if the file is opened in a newer version of Excel. Learn more: https://go.microsoft.com/fwlink/?linkid=870924
Comment:
    Dati mercato: GfK, statista, etc.</t>
      </text>
    </comment>
    <comment ref="AF1" authorId="10" shapeId="0" xr:uid="{B7415F4F-EE97-45AA-B002-CF114B0B20E5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fixed value</t>
      </text>
    </comment>
  </commentList>
</comments>
</file>

<file path=xl/sharedStrings.xml><?xml version="1.0" encoding="utf-8"?>
<sst xmlns="http://schemas.openxmlformats.org/spreadsheetml/2006/main" count="117" uniqueCount="45">
  <si>
    <t>cluster_percentage</t>
  </si>
  <si>
    <t>id_cluster</t>
  </si>
  <si>
    <t>members</t>
  </si>
  <si>
    <t>retirees</t>
  </si>
  <si>
    <t>workers</t>
  </si>
  <si>
    <t>unemployed</t>
  </si>
  <si>
    <t>fridge</t>
  </si>
  <si>
    <t>washing_machine</t>
  </si>
  <si>
    <t>tv</t>
  </si>
  <si>
    <t>oven</t>
  </si>
  <si>
    <t>dishwasher</t>
  </si>
  <si>
    <t>electric_hob</t>
  </si>
  <si>
    <t>iron</t>
  </si>
  <si>
    <t>blender</t>
  </si>
  <si>
    <t>toaster</t>
  </si>
  <si>
    <t>kitchen_robot</t>
  </si>
  <si>
    <t>vacuum_robot</t>
  </si>
  <si>
    <t>phon</t>
  </si>
  <si>
    <t>radiator</t>
  </si>
  <si>
    <t>laptop</t>
  </si>
  <si>
    <t>freezer</t>
  </si>
  <si>
    <t>number_of_appliances</t>
  </si>
  <si>
    <t>voice_assistant</t>
  </si>
  <si>
    <t>cluster_paper</t>
  </si>
  <si>
    <t>cluster_7</t>
  </si>
  <si>
    <t>cluster_1_2</t>
  </si>
  <si>
    <t>cluster_3_6</t>
  </si>
  <si>
    <t>coffee</t>
  </si>
  <si>
    <t>game_console</t>
  </si>
  <si>
    <t>computer</t>
  </si>
  <si>
    <t>vacuum</t>
  </si>
  <si>
    <t>boiler</t>
  </si>
  <si>
    <t>dehumidifier</t>
  </si>
  <si>
    <t>fan</t>
  </si>
  <si>
    <t>internet_router</t>
  </si>
  <si>
    <t>microwave</t>
  </si>
  <si>
    <t>phone_charger</t>
  </si>
  <si>
    <t>screen</t>
  </si>
  <si>
    <t>kettle</t>
  </si>
  <si>
    <t>dryer</t>
  </si>
  <si>
    <t>computer_equipment</t>
  </si>
  <si>
    <t>kitchen_equipment</t>
  </si>
  <si>
    <t>lamp</t>
  </si>
  <si>
    <t>appliances</t>
  </si>
  <si>
    <t>cluster_percentage_normalized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</si>
</sst>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llo Antonino (RSE)" id="{776CA3F5-2BE0-4A02-A953-A7EBF94F0315}" userId="S::ROLLO@rse-web.it::e52e0e77-6c2c-4ec1-9555-c742020b58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24T14:25:52.95" personId="{776CA3F5-2BE0-4A02-A953-A7EBF94F0315}" id="{18778F8A-622C-4A32-A415-510A6BEF5C4A}">
    <text>Dati Istat</text>
  </threadedComment>
  <threadedComment ref="E1" dT="2026-03-24T15:06:30.26" personId="{776CA3F5-2BE0-4A02-A953-A7EBF94F0315}" id="{D4D25116-92E2-4F78-8010-BF7F1BD55086}">
    <text>Information no available: fixed value</text>
  </threadedComment>
  <threadedComment ref="F1" dT="2026-03-25T14:53:15.30" personId="{776CA3F5-2BE0-4A02-A953-A7EBF94F0315}" id="{2F5166B5-1BC0-487F-87BB-8366FD57D64D}">
    <text>Mean spread of printers in Italy</text>
  </threadedComment>
  <threadedComment ref="G1" dT="2026-03-24T14:26:12.90" personId="{776CA3F5-2BE0-4A02-A953-A7EBF94F0315}" id="{4C07C6BF-493D-48D0-8825-2913C57E620F}">
    <text>Dati Enea</text>
  </threadedComment>
  <threadedComment ref="K1" dT="2026-03-24T14:27:18.28" personId="{776CA3F5-2BE0-4A02-A953-A7EBF94F0315}" id="{95B473DF-5EA0-4072-B863-AB402273D0E4}">
    <text>Dati Enea e Istat integrati</text>
  </threadedComment>
  <threadedComment ref="O1" dT="2026-03-24T14:28:03.09" personId="{776CA3F5-2BE0-4A02-A953-A7EBF94F0315}" id="{DC63A6DC-43FB-4AF7-BDD1-B0933EF8579D}">
    <text>Dati Istat e AGCOM</text>
  </threadedComment>
  <threadedComment ref="Q1" dT="2026-03-24T14:29:00.26" personId="{776CA3F5-2BE0-4A02-A953-A7EBF94F0315}" id="{131E077D-E7F6-48E4-8360-E3CE54DED26B}">
    <text>Dati Istat e Enea</text>
  </threadedComment>
  <threadedComment ref="R1" dT="2026-03-25T14:53:39.02" personId="{776CA3F5-2BE0-4A02-A953-A7EBF94F0315}" id="{46B69451-6FB2-424C-A35A-94BF42E21208}">
    <text>No available information: equal to toaster</text>
  </threadedComment>
  <threadedComment ref="AA1" dT="2026-03-24T15:07:02.47" personId="{776CA3F5-2BE0-4A02-A953-A7EBF94F0315}" id="{1D141503-8DE8-4F72-9C53-DA5924D9B2A7}">
    <text>Information no available: equal to computer</text>
  </threadedComment>
  <threadedComment ref="AE1" dT="2026-03-24T14:31:23.46" personId="{776CA3F5-2BE0-4A02-A953-A7EBF94F0315}" id="{7297565B-EDFB-4C2E-AD77-BE1C1FE29590}">
    <text>Dati mercato: GfK, statista, etc.</text>
  </threadedComment>
  <threadedComment ref="AF1" dT="2026-03-24T15:07:17.47" personId="{776CA3F5-2BE0-4A02-A953-A7EBF94F0315}" id="{B7415F4F-EE97-45AA-B002-CF114B0B20E5}">
    <text>Information no available: fixed value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L18" sqref="L18"/>
    </sheetView>
  </sheetViews>
  <sheetFormatPr defaultRowHeight="14.4" x14ac:dyDescent="0.3"/>
  <cols>
    <col min="1" max="1" width="10.21875" bestFit="1" customWidth="1"/>
    <col min="2" max="2" width="9.6640625" bestFit="1" customWidth="1"/>
    <col min="3" max="3" width="8.21875" bestFit="1" customWidth="1"/>
    <col min="4" max="4" width="8.5546875" bestFit="1" customWidth="1"/>
    <col min="5" max="5" width="13" bestFit="1" customWidth="1"/>
    <col min="6" max="6" width="19.44140625" bestFit="1" customWidth="1"/>
    <col min="7" max="7" width="31.6640625" bestFit="1" customWidth="1"/>
    <col min="8" max="8" width="14.109375" bestFit="1" customWidth="1"/>
    <col min="10" max="10" width="10.21875" customWidth="1"/>
  </cols>
  <sheetData>
    <row r="1" spans="1:10" ht="15.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0</v>
      </c>
      <c r="G1" s="5" t="s">
        <v>44</v>
      </c>
      <c r="H1" s="5" t="s">
        <v>23</v>
      </c>
    </row>
    <row r="2" spans="1:10" ht="15.6" x14ac:dyDescent="0.3">
      <c r="A2" s="5">
        <v>1</v>
      </c>
      <c r="B2" s="6">
        <v>1</v>
      </c>
      <c r="C2" s="6">
        <v>1</v>
      </c>
      <c r="D2" s="6">
        <v>0</v>
      </c>
      <c r="E2" s="6">
        <v>0</v>
      </c>
      <c r="F2" s="7">
        <v>0.26200000000000001</v>
      </c>
      <c r="G2" s="7">
        <f>F2/SUM($F$2:$F$11)</f>
        <v>0.334610472541507</v>
      </c>
      <c r="H2" s="6" t="s">
        <v>24</v>
      </c>
      <c r="I2" s="8"/>
      <c r="J2" s="9"/>
    </row>
    <row r="3" spans="1:10" ht="15.6" x14ac:dyDescent="0.3">
      <c r="A3" s="5">
        <v>2</v>
      </c>
      <c r="B3" s="6">
        <v>4</v>
      </c>
      <c r="C3" s="6">
        <v>0</v>
      </c>
      <c r="D3" s="6">
        <v>2</v>
      </c>
      <c r="E3" s="6">
        <v>2</v>
      </c>
      <c r="F3" s="7">
        <v>7.9000000000000001E-2</v>
      </c>
      <c r="G3" s="7">
        <f t="shared" ref="G3:G11" si="0">F3/SUM($F$2:$F$11)</f>
        <v>0.10089399744572157</v>
      </c>
      <c r="H3" s="6" t="s">
        <v>25</v>
      </c>
      <c r="I3" s="8"/>
      <c r="J3" s="9"/>
    </row>
    <row r="4" spans="1:10" ht="15.6" x14ac:dyDescent="0.3">
      <c r="A4" s="5">
        <v>3</v>
      </c>
      <c r="B4" s="6">
        <v>1</v>
      </c>
      <c r="C4" s="6">
        <v>0</v>
      </c>
      <c r="D4" s="6">
        <v>1</v>
      </c>
      <c r="E4" s="6">
        <v>0</v>
      </c>
      <c r="F4" s="7">
        <v>7.0000000000000007E-2</v>
      </c>
      <c r="G4" s="7">
        <f t="shared" si="0"/>
        <v>8.9399744572158352E-2</v>
      </c>
      <c r="H4" s="6" t="s">
        <v>24</v>
      </c>
      <c r="I4" s="8"/>
      <c r="J4" s="9"/>
    </row>
    <row r="5" spans="1:10" ht="15.6" x14ac:dyDescent="0.3">
      <c r="A5" s="5">
        <v>4</v>
      </c>
      <c r="B5" s="6">
        <v>3</v>
      </c>
      <c r="C5" s="6">
        <v>0</v>
      </c>
      <c r="D5" s="6">
        <v>2</v>
      </c>
      <c r="E5" s="6">
        <v>1</v>
      </c>
      <c r="F5" s="7">
        <v>6.3E-2</v>
      </c>
      <c r="G5" s="7">
        <f t="shared" si="0"/>
        <v>8.0459770114942514E-2</v>
      </c>
      <c r="H5" s="6" t="s">
        <v>25</v>
      </c>
      <c r="I5" s="8"/>
      <c r="J5" s="9"/>
    </row>
    <row r="6" spans="1:10" ht="15.6" x14ac:dyDescent="0.3">
      <c r="A6" s="5">
        <v>5</v>
      </c>
      <c r="B6" s="6">
        <v>4</v>
      </c>
      <c r="C6" s="6">
        <v>0</v>
      </c>
      <c r="D6" s="6">
        <v>1</v>
      </c>
      <c r="E6" s="6">
        <v>3</v>
      </c>
      <c r="F6" s="7">
        <v>6.3E-2</v>
      </c>
      <c r="G6" s="7">
        <f t="shared" si="0"/>
        <v>8.0459770114942514E-2</v>
      </c>
      <c r="H6" s="6" t="s">
        <v>25</v>
      </c>
    </row>
    <row r="7" spans="1:10" ht="15.6" x14ac:dyDescent="0.3">
      <c r="A7" s="5">
        <v>6</v>
      </c>
      <c r="B7" s="6">
        <v>2</v>
      </c>
      <c r="C7" s="6">
        <v>1</v>
      </c>
      <c r="D7" s="6">
        <v>0</v>
      </c>
      <c r="E7" s="6">
        <v>1</v>
      </c>
      <c r="F7" s="7">
        <v>0.06</v>
      </c>
      <c r="G7" s="7">
        <f t="shared" si="0"/>
        <v>7.6628352490421436E-2</v>
      </c>
      <c r="H7" s="6" t="s">
        <v>26</v>
      </c>
    </row>
    <row r="8" spans="1:10" ht="15.6" x14ac:dyDescent="0.3">
      <c r="A8" s="5">
        <v>7</v>
      </c>
      <c r="B8" s="6">
        <v>2</v>
      </c>
      <c r="C8" s="6">
        <v>2</v>
      </c>
      <c r="D8" s="6">
        <v>0</v>
      </c>
      <c r="E8" s="6">
        <v>0</v>
      </c>
      <c r="F8" s="7">
        <v>5.7000000000000002E-2</v>
      </c>
      <c r="G8" s="7">
        <f t="shared" si="0"/>
        <v>7.2796934865900373E-2</v>
      </c>
      <c r="H8" s="6" t="s">
        <v>26</v>
      </c>
    </row>
    <row r="9" spans="1:10" ht="15.6" x14ac:dyDescent="0.3">
      <c r="A9" s="5">
        <v>8</v>
      </c>
      <c r="B9" s="6">
        <v>3</v>
      </c>
      <c r="C9" s="6">
        <v>0</v>
      </c>
      <c r="D9" s="6">
        <v>1</v>
      </c>
      <c r="E9" s="6">
        <v>2</v>
      </c>
      <c r="F9" s="7">
        <v>0.05</v>
      </c>
      <c r="G9" s="7">
        <f t="shared" si="0"/>
        <v>6.3856960408684535E-2</v>
      </c>
      <c r="H9" s="6" t="s">
        <v>25</v>
      </c>
    </row>
    <row r="10" spans="1:10" ht="15.6" x14ac:dyDescent="0.3">
      <c r="A10" s="5">
        <v>9</v>
      </c>
      <c r="B10" s="6">
        <v>2</v>
      </c>
      <c r="C10" s="6">
        <v>0</v>
      </c>
      <c r="D10" s="6">
        <v>1</v>
      </c>
      <c r="E10" s="6">
        <v>1</v>
      </c>
      <c r="F10" s="7">
        <v>0.04</v>
      </c>
      <c r="G10" s="7">
        <f t="shared" si="0"/>
        <v>5.1085568326947627E-2</v>
      </c>
      <c r="H10" s="6" t="s">
        <v>26</v>
      </c>
    </row>
    <row r="11" spans="1:10" ht="15.6" x14ac:dyDescent="0.3">
      <c r="A11" s="5">
        <v>10</v>
      </c>
      <c r="B11" s="6">
        <v>2</v>
      </c>
      <c r="C11" s="6">
        <v>0</v>
      </c>
      <c r="D11" s="6">
        <v>2</v>
      </c>
      <c r="E11" s="6">
        <v>0</v>
      </c>
      <c r="F11" s="7">
        <v>3.9E-2</v>
      </c>
      <c r="G11" s="7">
        <f t="shared" si="0"/>
        <v>4.9808429118773936E-2</v>
      </c>
      <c r="H11" s="6" t="s">
        <v>26</v>
      </c>
    </row>
  </sheetData>
  <conditionalFormatting sqref="F2:G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9F23-1414-4846-B014-3182A2712411}">
  <dimension ref="A1:AG11"/>
  <sheetViews>
    <sheetView workbookViewId="0">
      <selection activeCell="H7" sqref="H7"/>
    </sheetView>
  </sheetViews>
  <sheetFormatPr defaultColWidth="9.77734375" defaultRowHeight="14.4" x14ac:dyDescent="0.3"/>
  <cols>
    <col min="1" max="1" width="10.21875" bestFit="1" customWidth="1"/>
    <col min="2" max="5" width="12.77734375" customWidth="1"/>
    <col min="6" max="6" width="21.6640625" bestFit="1" customWidth="1"/>
    <col min="7" max="7" width="13.33203125" bestFit="1" customWidth="1"/>
    <col min="8" max="13" width="12.77734375" customWidth="1"/>
    <col min="14" max="14" width="14.5546875" bestFit="1" customWidth="1"/>
    <col min="15" max="15" width="16.109375" bestFit="1" customWidth="1"/>
    <col min="16" max="17" width="12.77734375" customWidth="1"/>
    <col min="18" max="18" width="19.44140625" bestFit="1" customWidth="1"/>
    <col min="19" max="19" width="14.6640625" bestFit="1" customWidth="1"/>
    <col min="20" max="20" width="14.6640625" customWidth="1"/>
    <col min="21" max="24" width="12.77734375" customWidth="1"/>
    <col min="25" max="25" width="15.5546875" bestFit="1" customWidth="1"/>
    <col min="26" max="30" width="12.77734375" customWidth="1"/>
    <col min="31" max="31" width="15.109375" bestFit="1" customWidth="1"/>
    <col min="32" max="32" width="15.44140625" bestFit="1" customWidth="1"/>
    <col min="33" max="33" width="18.21875" bestFit="1" customWidth="1"/>
  </cols>
  <sheetData>
    <row r="1" spans="1:33" ht="15.6" x14ac:dyDescent="0.3">
      <c r="A1" s="1" t="s">
        <v>1</v>
      </c>
      <c r="B1" s="1" t="s">
        <v>13</v>
      </c>
      <c r="C1" s="1" t="s">
        <v>31</v>
      </c>
      <c r="D1" s="1" t="s">
        <v>27</v>
      </c>
      <c r="E1" s="1" t="s">
        <v>29</v>
      </c>
      <c r="F1" s="1" t="s">
        <v>40</v>
      </c>
      <c r="G1" s="1" t="s">
        <v>32</v>
      </c>
      <c r="H1" s="1" t="s">
        <v>10</v>
      </c>
      <c r="I1" s="1" t="s">
        <v>39</v>
      </c>
      <c r="J1" s="1" t="s">
        <v>11</v>
      </c>
      <c r="K1" s="1" t="s">
        <v>33</v>
      </c>
      <c r="L1" s="1" t="s">
        <v>20</v>
      </c>
      <c r="M1" s="1" t="s">
        <v>6</v>
      </c>
      <c r="N1" s="1" t="s">
        <v>28</v>
      </c>
      <c r="O1" s="1" t="s">
        <v>34</v>
      </c>
      <c r="P1" s="1" t="s">
        <v>12</v>
      </c>
      <c r="Q1" s="1" t="s">
        <v>38</v>
      </c>
      <c r="R1" s="1" t="s">
        <v>41</v>
      </c>
      <c r="S1" s="1" t="s">
        <v>15</v>
      </c>
      <c r="T1" s="1" t="s">
        <v>42</v>
      </c>
      <c r="U1" s="1" t="s">
        <v>19</v>
      </c>
      <c r="V1" s="1" t="s">
        <v>35</v>
      </c>
      <c r="W1" s="1" t="s">
        <v>9</v>
      </c>
      <c r="X1" s="1" t="s">
        <v>17</v>
      </c>
      <c r="Y1" s="1" t="s">
        <v>36</v>
      </c>
      <c r="Z1" s="1" t="s">
        <v>18</v>
      </c>
      <c r="AA1" s="1" t="s">
        <v>37</v>
      </c>
      <c r="AB1" s="1" t="s">
        <v>14</v>
      </c>
      <c r="AC1" s="1" t="s">
        <v>8</v>
      </c>
      <c r="AD1" s="1" t="s">
        <v>30</v>
      </c>
      <c r="AE1" s="1" t="s">
        <v>16</v>
      </c>
      <c r="AF1" s="1" t="s">
        <v>22</v>
      </c>
      <c r="AG1" s="1" t="s">
        <v>7</v>
      </c>
    </row>
    <row r="2" spans="1:33" ht="15.6" x14ac:dyDescent="0.3">
      <c r="A2" s="1">
        <v>1</v>
      </c>
      <c r="B2" s="2">
        <v>0.43</v>
      </c>
      <c r="C2" s="2">
        <v>0.2</v>
      </c>
      <c r="D2" s="2">
        <v>7.0000000000000007E-2</v>
      </c>
      <c r="E2" s="2">
        <v>0.14000000000000001</v>
      </c>
      <c r="F2" s="2">
        <v>0.35</v>
      </c>
      <c r="G2" s="2">
        <v>0.1</v>
      </c>
      <c r="H2" s="2">
        <v>0.19</v>
      </c>
      <c r="I2" s="2">
        <v>0</v>
      </c>
      <c r="J2" s="2">
        <v>0.13</v>
      </c>
      <c r="K2" s="2">
        <v>0.35</v>
      </c>
      <c r="L2" s="2">
        <v>0.19</v>
      </c>
      <c r="M2" s="2">
        <v>0.99</v>
      </c>
      <c r="N2" s="2">
        <v>0.28000000000000003</v>
      </c>
      <c r="O2" s="2">
        <v>0.85</v>
      </c>
      <c r="P2" s="2">
        <v>0.92</v>
      </c>
      <c r="Q2" s="2">
        <v>0.2</v>
      </c>
      <c r="R2" s="2">
        <v>0.27</v>
      </c>
      <c r="S2" s="2">
        <v>0.12</v>
      </c>
      <c r="T2" s="2">
        <v>1</v>
      </c>
      <c r="U2" s="2">
        <v>0.15</v>
      </c>
      <c r="V2" s="2">
        <v>0.28000000000000003</v>
      </c>
      <c r="W2" s="2">
        <v>0.83</v>
      </c>
      <c r="X2" s="2">
        <v>0.86</v>
      </c>
      <c r="Y2" s="2">
        <v>1</v>
      </c>
      <c r="Z2" s="2">
        <v>0.26</v>
      </c>
      <c r="AA2" s="2">
        <v>0.14000000000000001</v>
      </c>
      <c r="AB2" s="2">
        <v>0.27</v>
      </c>
      <c r="AC2" s="2">
        <v>0.96</v>
      </c>
      <c r="AD2" s="2">
        <v>0.04</v>
      </c>
      <c r="AE2" s="2">
        <v>0.15</v>
      </c>
      <c r="AF2" s="2">
        <v>0.19</v>
      </c>
      <c r="AG2" s="2">
        <v>0.94</v>
      </c>
    </row>
    <row r="3" spans="1:33" ht="15.6" x14ac:dyDescent="0.3">
      <c r="A3" s="1">
        <v>2</v>
      </c>
      <c r="B3" s="2">
        <v>0.43</v>
      </c>
      <c r="C3" s="2">
        <v>0.2</v>
      </c>
      <c r="D3" s="2">
        <v>0.08</v>
      </c>
      <c r="E3" s="2">
        <v>0.14000000000000001</v>
      </c>
      <c r="F3" s="2">
        <v>0.35</v>
      </c>
      <c r="G3" s="2">
        <v>0.1</v>
      </c>
      <c r="H3" s="2">
        <v>0.22</v>
      </c>
      <c r="I3" s="2">
        <v>0.02</v>
      </c>
      <c r="J3" s="2">
        <v>0.19</v>
      </c>
      <c r="K3" s="2">
        <v>0.35</v>
      </c>
      <c r="L3" s="2">
        <v>0.15</v>
      </c>
      <c r="M3" s="2">
        <v>0.99</v>
      </c>
      <c r="N3" s="2">
        <v>0.28000000000000003</v>
      </c>
      <c r="O3" s="2">
        <v>0.85</v>
      </c>
      <c r="P3" s="2">
        <v>0.88</v>
      </c>
      <c r="Q3" s="2">
        <v>0.2</v>
      </c>
      <c r="R3" s="2">
        <v>0.26</v>
      </c>
      <c r="S3" s="2">
        <v>0.16</v>
      </c>
      <c r="T3" s="2">
        <v>1</v>
      </c>
      <c r="U3" s="2">
        <v>0.26</v>
      </c>
      <c r="V3" s="2">
        <v>0.28999999999999998</v>
      </c>
      <c r="W3" s="2">
        <v>0.8</v>
      </c>
      <c r="X3" s="2">
        <v>0.86</v>
      </c>
      <c r="Y3" s="2">
        <v>1</v>
      </c>
      <c r="Z3" s="2">
        <v>0.26</v>
      </c>
      <c r="AA3" s="2">
        <v>0.14000000000000001</v>
      </c>
      <c r="AB3" s="2">
        <v>0.26</v>
      </c>
      <c r="AC3" s="2">
        <v>0.92</v>
      </c>
      <c r="AD3" s="2">
        <v>0.03</v>
      </c>
      <c r="AE3" s="2">
        <v>0.15</v>
      </c>
      <c r="AF3" s="2">
        <v>0.19</v>
      </c>
      <c r="AG3" s="2">
        <v>0.88</v>
      </c>
    </row>
    <row r="4" spans="1:33" ht="15.6" x14ac:dyDescent="0.3">
      <c r="A4" s="1">
        <v>3</v>
      </c>
      <c r="B4" s="2">
        <v>0.7</v>
      </c>
      <c r="C4" s="2">
        <v>0.2</v>
      </c>
      <c r="D4" s="2">
        <v>7.0000000000000007E-2</v>
      </c>
      <c r="E4" s="2">
        <v>0.14000000000000001</v>
      </c>
      <c r="F4" s="2">
        <v>0.35</v>
      </c>
      <c r="G4" s="2">
        <v>0.1</v>
      </c>
      <c r="H4" s="2">
        <v>0.75</v>
      </c>
      <c r="I4" s="2">
        <v>0.12</v>
      </c>
      <c r="J4" s="2">
        <v>0.33</v>
      </c>
      <c r="K4" s="2">
        <v>0.35</v>
      </c>
      <c r="L4" s="2">
        <v>0.3</v>
      </c>
      <c r="M4" s="2">
        <v>1</v>
      </c>
      <c r="N4" s="2">
        <v>0.28000000000000003</v>
      </c>
      <c r="O4" s="2">
        <v>0.85</v>
      </c>
      <c r="P4" s="2">
        <v>0.97</v>
      </c>
      <c r="Q4" s="2">
        <v>0.2</v>
      </c>
      <c r="R4" s="2">
        <v>0.61</v>
      </c>
      <c r="S4" s="2">
        <v>0.47</v>
      </c>
      <c r="T4" s="2">
        <v>1</v>
      </c>
      <c r="U4" s="2">
        <v>0.9</v>
      </c>
      <c r="V4" s="2">
        <v>0.63</v>
      </c>
      <c r="W4" s="2">
        <v>0.99</v>
      </c>
      <c r="X4" s="2">
        <v>0.86</v>
      </c>
      <c r="Y4" s="2">
        <v>1</v>
      </c>
      <c r="Z4" s="2">
        <v>0.26</v>
      </c>
      <c r="AA4" s="2">
        <v>0.14000000000000001</v>
      </c>
      <c r="AB4" s="2">
        <v>0.61</v>
      </c>
      <c r="AC4" s="2">
        <v>0.96</v>
      </c>
      <c r="AD4" s="2">
        <v>0.09</v>
      </c>
      <c r="AE4" s="2">
        <v>0.15</v>
      </c>
      <c r="AF4" s="2">
        <v>0.19</v>
      </c>
      <c r="AG4" s="2">
        <v>1</v>
      </c>
    </row>
    <row r="5" spans="1:33" ht="15.6" x14ac:dyDescent="0.3">
      <c r="A5" s="1">
        <v>4</v>
      </c>
      <c r="B5" s="2">
        <v>0.61</v>
      </c>
      <c r="C5" s="2">
        <v>0.2</v>
      </c>
      <c r="D5" s="2">
        <v>0.09</v>
      </c>
      <c r="E5" s="2">
        <v>0.14000000000000001</v>
      </c>
      <c r="F5" s="2">
        <v>0.35</v>
      </c>
      <c r="G5" s="2">
        <v>0.1</v>
      </c>
      <c r="H5" s="2">
        <v>0.52</v>
      </c>
      <c r="I5" s="2">
        <v>0.05</v>
      </c>
      <c r="J5" s="2">
        <v>0.27</v>
      </c>
      <c r="K5" s="2">
        <v>0.35</v>
      </c>
      <c r="L5" s="2">
        <v>0.28000000000000003</v>
      </c>
      <c r="M5" s="2">
        <v>1</v>
      </c>
      <c r="N5" s="2">
        <v>0.28000000000000003</v>
      </c>
      <c r="O5" s="2">
        <v>0.85</v>
      </c>
      <c r="P5" s="2">
        <v>0.98</v>
      </c>
      <c r="Q5" s="2">
        <v>0.2</v>
      </c>
      <c r="R5" s="2">
        <v>0.54</v>
      </c>
      <c r="S5" s="2">
        <v>0.41</v>
      </c>
      <c r="T5" s="2">
        <v>1</v>
      </c>
      <c r="U5" s="2">
        <v>0.83</v>
      </c>
      <c r="V5" s="2">
        <v>0.55000000000000004</v>
      </c>
      <c r="W5" s="2">
        <v>0.97</v>
      </c>
      <c r="X5" s="2">
        <v>0.86</v>
      </c>
      <c r="Y5" s="2">
        <v>1</v>
      </c>
      <c r="Z5" s="2">
        <v>0.26</v>
      </c>
      <c r="AA5" s="2">
        <v>0.14000000000000001</v>
      </c>
      <c r="AB5" s="2">
        <v>0.54</v>
      </c>
      <c r="AC5" s="2">
        <v>0.96</v>
      </c>
      <c r="AD5" s="2">
        <v>0.08</v>
      </c>
      <c r="AE5" s="2">
        <v>0.15</v>
      </c>
      <c r="AF5" s="2">
        <v>0.19</v>
      </c>
      <c r="AG5" s="2">
        <v>0.99</v>
      </c>
    </row>
    <row r="6" spans="1:33" ht="15.6" x14ac:dyDescent="0.3">
      <c r="A6" s="1">
        <v>5</v>
      </c>
      <c r="B6" s="2">
        <v>0.63</v>
      </c>
      <c r="C6" s="2">
        <v>0.2</v>
      </c>
      <c r="D6" s="2">
        <v>0.09</v>
      </c>
      <c r="E6" s="2">
        <v>0.14000000000000001</v>
      </c>
      <c r="F6" s="2">
        <v>0.35</v>
      </c>
      <c r="G6" s="2">
        <v>0.1</v>
      </c>
      <c r="H6" s="2">
        <v>0.48</v>
      </c>
      <c r="I6" s="2">
        <v>0.06</v>
      </c>
      <c r="J6" s="2">
        <v>0.21</v>
      </c>
      <c r="K6" s="2">
        <v>0.35</v>
      </c>
      <c r="L6" s="2">
        <v>0.37</v>
      </c>
      <c r="M6" s="2">
        <v>1</v>
      </c>
      <c r="N6" s="2">
        <v>0.28000000000000003</v>
      </c>
      <c r="O6" s="2">
        <v>0.85</v>
      </c>
      <c r="P6" s="2">
        <v>1</v>
      </c>
      <c r="Q6" s="2">
        <v>0.2</v>
      </c>
      <c r="R6" s="2">
        <v>0.52</v>
      </c>
      <c r="S6" s="2">
        <v>0.37</v>
      </c>
      <c r="T6" s="2">
        <v>1</v>
      </c>
      <c r="U6" s="2">
        <v>0.82</v>
      </c>
      <c r="V6" s="2">
        <v>0.55000000000000004</v>
      </c>
      <c r="W6" s="2">
        <v>0.98</v>
      </c>
      <c r="X6" s="2">
        <v>0.86</v>
      </c>
      <c r="Y6" s="2">
        <v>1</v>
      </c>
      <c r="Z6" s="2">
        <v>0.26</v>
      </c>
      <c r="AA6" s="2">
        <v>0.14000000000000001</v>
      </c>
      <c r="AB6" s="2">
        <v>0.52</v>
      </c>
      <c r="AC6" s="2">
        <v>0.98</v>
      </c>
      <c r="AD6" s="2">
        <v>0.09</v>
      </c>
      <c r="AE6" s="2">
        <v>0.15</v>
      </c>
      <c r="AF6" s="2">
        <v>0.19</v>
      </c>
      <c r="AG6" s="2">
        <v>0.99</v>
      </c>
    </row>
    <row r="7" spans="1:33" ht="15.6" x14ac:dyDescent="0.3">
      <c r="A7" s="1">
        <v>6</v>
      </c>
      <c r="B7" s="2">
        <v>0.6</v>
      </c>
      <c r="C7" s="2">
        <v>0.2</v>
      </c>
      <c r="D7" s="2">
        <v>0.09</v>
      </c>
      <c r="E7" s="2">
        <v>0.14000000000000001</v>
      </c>
      <c r="F7" s="2">
        <v>0.35</v>
      </c>
      <c r="G7" s="2">
        <v>0.1</v>
      </c>
      <c r="H7" s="2">
        <v>0.35</v>
      </c>
      <c r="I7" s="2">
        <v>0.01</v>
      </c>
      <c r="J7" s="2">
        <v>0.19</v>
      </c>
      <c r="K7" s="2">
        <v>0.35</v>
      </c>
      <c r="L7" s="2">
        <v>0.37</v>
      </c>
      <c r="M7" s="2">
        <v>1</v>
      </c>
      <c r="N7" s="2">
        <v>0.28000000000000003</v>
      </c>
      <c r="O7" s="2">
        <v>0.85</v>
      </c>
      <c r="P7" s="2">
        <v>0.99</v>
      </c>
      <c r="Q7" s="2">
        <v>0.2</v>
      </c>
      <c r="R7" s="2">
        <v>0.41</v>
      </c>
      <c r="S7" s="2">
        <v>0.24</v>
      </c>
      <c r="T7" s="2">
        <v>1</v>
      </c>
      <c r="U7" s="2">
        <v>0.55000000000000004</v>
      </c>
      <c r="V7" s="2">
        <v>0.47</v>
      </c>
      <c r="W7" s="2">
        <v>0.93</v>
      </c>
      <c r="X7" s="2">
        <v>0.86</v>
      </c>
      <c r="Y7" s="2">
        <v>1</v>
      </c>
      <c r="Z7" s="2">
        <v>0.26</v>
      </c>
      <c r="AA7" s="2">
        <v>0.14000000000000001</v>
      </c>
      <c r="AB7" s="2">
        <v>0.41</v>
      </c>
      <c r="AC7" s="2">
        <v>0.98</v>
      </c>
      <c r="AD7" s="2">
        <v>0.08</v>
      </c>
      <c r="AE7" s="2">
        <v>0.15</v>
      </c>
      <c r="AF7" s="2">
        <v>0.19</v>
      </c>
      <c r="AG7" s="2">
        <v>0.99</v>
      </c>
    </row>
    <row r="8" spans="1:33" ht="15.6" x14ac:dyDescent="0.3">
      <c r="A8" s="1">
        <v>7</v>
      </c>
      <c r="B8" s="2">
        <v>0.57999999999999996</v>
      </c>
      <c r="C8" s="2">
        <v>0.2</v>
      </c>
      <c r="D8" s="2">
        <v>0.11</v>
      </c>
      <c r="E8" s="2">
        <v>0.14000000000000001</v>
      </c>
      <c r="F8" s="2">
        <v>0.35</v>
      </c>
      <c r="G8" s="2">
        <v>0.1</v>
      </c>
      <c r="H8" s="2">
        <v>0.37</v>
      </c>
      <c r="I8" s="2">
        <v>0.01</v>
      </c>
      <c r="J8" s="2">
        <v>0.15</v>
      </c>
      <c r="K8" s="2">
        <v>0.35</v>
      </c>
      <c r="L8" s="2">
        <v>0.33</v>
      </c>
      <c r="M8" s="2">
        <v>1</v>
      </c>
      <c r="N8" s="2">
        <v>0.28000000000000003</v>
      </c>
      <c r="O8" s="2">
        <v>0.85</v>
      </c>
      <c r="P8" s="2">
        <v>0.98</v>
      </c>
      <c r="Q8" s="2">
        <v>0.2</v>
      </c>
      <c r="R8" s="2">
        <v>0.35</v>
      </c>
      <c r="S8" s="2">
        <v>0.24</v>
      </c>
      <c r="T8" s="2">
        <v>1</v>
      </c>
      <c r="U8" s="2">
        <v>0.26</v>
      </c>
      <c r="V8" s="2">
        <v>0.38</v>
      </c>
      <c r="W8" s="2">
        <v>0.92</v>
      </c>
      <c r="X8" s="2">
        <v>0.86</v>
      </c>
      <c r="Y8" s="2">
        <v>1</v>
      </c>
      <c r="Z8" s="2">
        <v>0.26</v>
      </c>
      <c r="AA8" s="2">
        <v>0.14000000000000001</v>
      </c>
      <c r="AB8" s="2">
        <v>0.35</v>
      </c>
      <c r="AC8" s="2">
        <v>0.98</v>
      </c>
      <c r="AD8" s="2">
        <v>0.06</v>
      </c>
      <c r="AE8" s="2">
        <v>0.15</v>
      </c>
      <c r="AF8" s="2">
        <v>0.19</v>
      </c>
      <c r="AG8" s="2">
        <v>0.98</v>
      </c>
    </row>
    <row r="9" spans="1:33" ht="15.6" x14ac:dyDescent="0.3">
      <c r="A9" s="1">
        <v>8</v>
      </c>
      <c r="B9" s="2">
        <v>0.72</v>
      </c>
      <c r="C9" s="2">
        <v>0.2</v>
      </c>
      <c r="D9" s="2">
        <v>0.06</v>
      </c>
      <c r="E9" s="2">
        <v>0.14000000000000001</v>
      </c>
      <c r="F9" s="2">
        <v>0.35</v>
      </c>
      <c r="G9" s="2">
        <v>0.1</v>
      </c>
      <c r="H9" s="2">
        <v>0.73</v>
      </c>
      <c r="I9" s="2">
        <v>0.09</v>
      </c>
      <c r="J9" s="2">
        <v>0.28999999999999998</v>
      </c>
      <c r="K9" s="2">
        <v>0.35</v>
      </c>
      <c r="L9" s="2">
        <v>0.26</v>
      </c>
      <c r="M9" s="2">
        <v>1</v>
      </c>
      <c r="N9" s="2">
        <v>0.28000000000000003</v>
      </c>
      <c r="O9" s="2">
        <v>0.85</v>
      </c>
      <c r="P9" s="2">
        <v>0.98</v>
      </c>
      <c r="Q9" s="2">
        <v>0.2</v>
      </c>
      <c r="R9" s="2">
        <v>0.59</v>
      </c>
      <c r="S9" s="2">
        <v>0.43</v>
      </c>
      <c r="T9" s="2">
        <v>1</v>
      </c>
      <c r="U9" s="2">
        <v>0.89</v>
      </c>
      <c r="V9" s="2">
        <v>0.62</v>
      </c>
      <c r="W9" s="2">
        <v>0.99</v>
      </c>
      <c r="X9" s="2">
        <v>0.86</v>
      </c>
      <c r="Y9" s="2">
        <v>1</v>
      </c>
      <c r="Z9" s="2">
        <v>0.26</v>
      </c>
      <c r="AA9" s="2">
        <v>0.14000000000000001</v>
      </c>
      <c r="AB9" s="2">
        <v>0.59</v>
      </c>
      <c r="AC9" s="2">
        <v>0.97</v>
      </c>
      <c r="AD9" s="2">
        <v>0.09</v>
      </c>
      <c r="AE9" s="2">
        <v>0.15</v>
      </c>
      <c r="AF9" s="2">
        <v>0.19</v>
      </c>
      <c r="AG9" s="2">
        <v>0.98</v>
      </c>
    </row>
    <row r="10" spans="1:33" ht="15.6" x14ac:dyDescent="0.3">
      <c r="A10" s="1">
        <v>9</v>
      </c>
      <c r="B10" s="2">
        <v>0.59</v>
      </c>
      <c r="C10" s="2">
        <v>0.2</v>
      </c>
      <c r="D10" s="2">
        <v>0.08</v>
      </c>
      <c r="E10" s="2">
        <v>0.14000000000000001</v>
      </c>
      <c r="F10" s="2">
        <v>0.35</v>
      </c>
      <c r="G10" s="2">
        <v>0.1</v>
      </c>
      <c r="H10" s="2">
        <v>0.34</v>
      </c>
      <c r="I10" s="2">
        <v>0.01</v>
      </c>
      <c r="J10" s="2">
        <v>0.19</v>
      </c>
      <c r="K10" s="2">
        <v>0.35</v>
      </c>
      <c r="L10" s="2">
        <v>0.18</v>
      </c>
      <c r="M10" s="2">
        <v>1</v>
      </c>
      <c r="N10" s="2">
        <v>0.28000000000000003</v>
      </c>
      <c r="O10" s="2">
        <v>0.85</v>
      </c>
      <c r="P10" s="2">
        <v>0.96</v>
      </c>
      <c r="Q10" s="2">
        <v>0.2</v>
      </c>
      <c r="R10" s="2">
        <v>0.44</v>
      </c>
      <c r="S10" s="2">
        <v>0.33</v>
      </c>
      <c r="T10" s="2">
        <v>1</v>
      </c>
      <c r="U10" s="2">
        <v>0.66</v>
      </c>
      <c r="V10" s="2">
        <v>0.44</v>
      </c>
      <c r="W10" s="2">
        <v>0.92</v>
      </c>
      <c r="X10" s="2">
        <v>0.86</v>
      </c>
      <c r="Y10" s="2">
        <v>1</v>
      </c>
      <c r="Z10" s="2">
        <v>0.26</v>
      </c>
      <c r="AA10" s="2">
        <v>0.14000000000000001</v>
      </c>
      <c r="AB10" s="2">
        <v>0.44</v>
      </c>
      <c r="AC10" s="2">
        <v>0.96</v>
      </c>
      <c r="AD10" s="2">
        <v>7.0000000000000007E-2</v>
      </c>
      <c r="AE10" s="2">
        <v>0.15</v>
      </c>
      <c r="AF10" s="2">
        <v>0.19</v>
      </c>
      <c r="AG10" s="2">
        <v>0.97</v>
      </c>
    </row>
    <row r="11" spans="1:33" ht="15.6" x14ac:dyDescent="0.3">
      <c r="A11" s="1">
        <v>10</v>
      </c>
      <c r="B11" s="2">
        <v>0.5</v>
      </c>
      <c r="C11" s="2">
        <v>0.2</v>
      </c>
      <c r="D11" s="2">
        <v>0.05</v>
      </c>
      <c r="E11" s="2">
        <v>0.14000000000000001</v>
      </c>
      <c r="F11" s="2">
        <v>0.35</v>
      </c>
      <c r="G11" s="2">
        <v>0.1</v>
      </c>
      <c r="H11" s="2">
        <v>0.3</v>
      </c>
      <c r="I11" s="2">
        <v>0.01</v>
      </c>
      <c r="J11" s="2">
        <v>0.1</v>
      </c>
      <c r="K11" s="2">
        <v>0.35</v>
      </c>
      <c r="L11" s="2">
        <v>0.19</v>
      </c>
      <c r="M11" s="2">
        <v>1</v>
      </c>
      <c r="N11" s="2">
        <v>0.28000000000000003</v>
      </c>
      <c r="O11" s="2">
        <v>0.85</v>
      </c>
      <c r="P11" s="2">
        <v>0.97</v>
      </c>
      <c r="Q11" s="2">
        <v>0.2</v>
      </c>
      <c r="R11" s="2">
        <v>0.38</v>
      </c>
      <c r="S11" s="2">
        <v>0.24</v>
      </c>
      <c r="T11" s="2">
        <v>1</v>
      </c>
      <c r="U11" s="2">
        <v>0.63</v>
      </c>
      <c r="V11" s="2">
        <v>0.42</v>
      </c>
      <c r="W11" s="2">
        <v>0.97</v>
      </c>
      <c r="X11" s="2">
        <v>0.86</v>
      </c>
      <c r="Y11" s="2">
        <v>1</v>
      </c>
      <c r="Z11" s="2">
        <v>0.26</v>
      </c>
      <c r="AA11" s="2">
        <v>0.14000000000000001</v>
      </c>
      <c r="AB11" s="2">
        <v>0.38</v>
      </c>
      <c r="AC11" s="2">
        <v>0.96</v>
      </c>
      <c r="AD11" s="2">
        <v>0.02</v>
      </c>
      <c r="AE11" s="2">
        <v>0.15</v>
      </c>
      <c r="AF11" s="2">
        <v>0.19</v>
      </c>
      <c r="AG11" s="2">
        <v>0.98</v>
      </c>
    </row>
  </sheetData>
  <sortState xmlns:xlrd2="http://schemas.microsoft.com/office/spreadsheetml/2017/richdata2" ref="A2:AA11">
    <sortCondition ref="B1:B11"/>
  </sortState>
  <conditionalFormatting sqref="B2:AG1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6A25-579A-44A0-97FD-5A3E523BCF08}">
  <dimension ref="A1:AG4"/>
  <sheetViews>
    <sheetView topLeftCell="O1" workbookViewId="0">
      <selection activeCell="E3" sqref="E3"/>
    </sheetView>
  </sheetViews>
  <sheetFormatPr defaultRowHeight="14.4" x14ac:dyDescent="0.3"/>
  <cols>
    <col min="1" max="1" width="23" bestFit="1" customWidth="1"/>
    <col min="2" max="5" width="12.77734375" customWidth="1"/>
    <col min="6" max="6" width="21.6640625" bestFit="1" customWidth="1"/>
    <col min="7" max="7" width="13.33203125" bestFit="1" customWidth="1"/>
    <col min="8" max="13" width="12.77734375" customWidth="1"/>
    <col min="14" max="14" width="14.5546875" bestFit="1" customWidth="1"/>
    <col min="15" max="15" width="16.109375" bestFit="1" customWidth="1"/>
    <col min="16" max="17" width="12.77734375" customWidth="1"/>
    <col min="18" max="18" width="19.44140625" bestFit="1" customWidth="1"/>
    <col min="19" max="19" width="14.6640625" bestFit="1" customWidth="1"/>
    <col min="20" max="20" width="14.6640625" customWidth="1"/>
    <col min="21" max="24" width="12.77734375" customWidth="1"/>
    <col min="25" max="25" width="15.5546875" bestFit="1" customWidth="1"/>
    <col min="26" max="30" width="12.77734375" customWidth="1"/>
    <col min="31" max="31" width="15.109375" bestFit="1" customWidth="1"/>
    <col min="32" max="32" width="15.44140625" bestFit="1" customWidth="1"/>
    <col min="33" max="33" width="18.21875" bestFit="1" customWidth="1"/>
  </cols>
  <sheetData>
    <row r="1" spans="1:33" ht="15.6" x14ac:dyDescent="0.3">
      <c r="A1" s="1" t="s">
        <v>21</v>
      </c>
      <c r="B1" s="1" t="s">
        <v>13</v>
      </c>
      <c r="C1" s="1" t="s">
        <v>31</v>
      </c>
      <c r="D1" s="1" t="s">
        <v>27</v>
      </c>
      <c r="E1" s="1" t="s">
        <v>29</v>
      </c>
      <c r="F1" s="1" t="s">
        <v>40</v>
      </c>
      <c r="G1" s="1" t="s">
        <v>32</v>
      </c>
      <c r="H1" s="1" t="s">
        <v>10</v>
      </c>
      <c r="I1" s="1" t="s">
        <v>39</v>
      </c>
      <c r="J1" s="1" t="s">
        <v>11</v>
      </c>
      <c r="K1" s="1" t="s">
        <v>33</v>
      </c>
      <c r="L1" s="1" t="s">
        <v>20</v>
      </c>
      <c r="M1" s="1" t="s">
        <v>6</v>
      </c>
      <c r="N1" s="1" t="s">
        <v>28</v>
      </c>
      <c r="O1" s="1" t="s">
        <v>34</v>
      </c>
      <c r="P1" s="1" t="s">
        <v>12</v>
      </c>
      <c r="Q1" s="1" t="s">
        <v>38</v>
      </c>
      <c r="R1" s="1" t="s">
        <v>41</v>
      </c>
      <c r="S1" s="1" t="s">
        <v>15</v>
      </c>
      <c r="T1" s="1" t="s">
        <v>42</v>
      </c>
      <c r="U1" s="1" t="s">
        <v>19</v>
      </c>
      <c r="V1" s="1" t="s">
        <v>35</v>
      </c>
      <c r="W1" s="1" t="s">
        <v>9</v>
      </c>
      <c r="X1" s="1" t="s">
        <v>17</v>
      </c>
      <c r="Y1" s="1" t="s">
        <v>36</v>
      </c>
      <c r="Z1" s="1" t="s">
        <v>18</v>
      </c>
      <c r="AA1" s="1" t="s">
        <v>37</v>
      </c>
      <c r="AB1" s="1" t="s">
        <v>14</v>
      </c>
      <c r="AC1" s="1" t="s">
        <v>8</v>
      </c>
      <c r="AD1" s="1" t="s">
        <v>30</v>
      </c>
      <c r="AE1" s="1" t="s">
        <v>16</v>
      </c>
      <c r="AF1" s="1" t="s">
        <v>22</v>
      </c>
      <c r="AG1" s="1" t="s">
        <v>7</v>
      </c>
    </row>
    <row r="2" spans="1:33" ht="15.6" x14ac:dyDescent="0.3">
      <c r="A2" s="3">
        <v>1</v>
      </c>
      <c r="B2" s="2">
        <v>1</v>
      </c>
      <c r="C2" s="2">
        <v>1</v>
      </c>
      <c r="D2" s="2">
        <v>1</v>
      </c>
      <c r="E2" s="2">
        <v>0.96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0.93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0</v>
      </c>
      <c r="U2" s="2">
        <v>0.77</v>
      </c>
      <c r="V2" s="2">
        <v>1</v>
      </c>
      <c r="W2" s="2">
        <v>1</v>
      </c>
      <c r="X2" s="2">
        <v>1</v>
      </c>
      <c r="Y2" s="2">
        <v>1</v>
      </c>
      <c r="Z2" s="2">
        <v>0.83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0.9</v>
      </c>
      <c r="AG2" s="2">
        <v>1</v>
      </c>
    </row>
    <row r="3" spans="1:33" ht="15.6" x14ac:dyDescent="0.3">
      <c r="A3" s="4">
        <v>2</v>
      </c>
      <c r="B3" s="2">
        <v>0</v>
      </c>
      <c r="C3" s="2">
        <v>0</v>
      </c>
      <c r="D3" s="2">
        <v>0</v>
      </c>
      <c r="E3" s="2">
        <v>0.04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7.0000000000000007E-2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0.18</v>
      </c>
      <c r="V3" s="2">
        <v>0</v>
      </c>
      <c r="W3" s="2">
        <v>0</v>
      </c>
      <c r="X3" s="2">
        <v>0</v>
      </c>
      <c r="Y3" s="2">
        <v>0</v>
      </c>
      <c r="Z3" s="2">
        <v>0.17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0.1</v>
      </c>
      <c r="AG3" s="2">
        <v>0</v>
      </c>
    </row>
    <row r="4" spans="1:33" ht="15.6" x14ac:dyDescent="0.3">
      <c r="A4" s="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0.05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</sheetData>
  <conditionalFormatting sqref="B2:C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J4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4 X2:X4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N4 D2:D4 P2:P4 S2:W4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Y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Z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:AA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:AG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002D-7435-46CB-8EB9-4E3B9431177E}">
  <dimension ref="A1:M33"/>
  <sheetViews>
    <sheetView workbookViewId="0">
      <selection activeCell="E10" sqref="E10"/>
    </sheetView>
  </sheetViews>
  <sheetFormatPr defaultRowHeight="14.4" x14ac:dyDescent="0.3"/>
  <cols>
    <col min="1" max="1" width="21.6640625" bestFit="1" customWidth="1"/>
    <col min="2" max="2" width="23.44140625" bestFit="1" customWidth="1"/>
    <col min="3" max="3" width="11.6640625" customWidth="1"/>
    <col min="4" max="4" width="12.44140625" customWidth="1"/>
    <col min="5" max="5" width="15.77734375" customWidth="1"/>
    <col min="6" max="6" width="23.21875" bestFit="1" customWidth="1"/>
    <col min="7" max="7" width="34.44140625" bestFit="1" customWidth="1"/>
  </cols>
  <sheetData>
    <row r="1" spans="1:13" ht="15.6" x14ac:dyDescent="0.3">
      <c r="A1" s="1" t="s">
        <v>43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ht="15.6" x14ac:dyDescent="0.3">
      <c r="A2" s="3" t="s">
        <v>13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</row>
    <row r="3" spans="1:13" ht="15.6" x14ac:dyDescent="0.3">
      <c r="A3" s="3" t="s">
        <v>31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</row>
    <row r="4" spans="1:13" ht="15.6" x14ac:dyDescent="0.3">
      <c r="A4" s="3" t="s">
        <v>27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</row>
    <row r="5" spans="1:13" ht="15.6" x14ac:dyDescent="0.3">
      <c r="A5" s="3" t="s">
        <v>29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</row>
    <row r="6" spans="1:13" ht="15.6" x14ac:dyDescent="0.3">
      <c r="A6" s="3" t="s">
        <v>40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</row>
    <row r="7" spans="1:13" ht="15.6" x14ac:dyDescent="0.3">
      <c r="A7" s="3" t="s">
        <v>32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</row>
    <row r="8" spans="1:13" ht="15.6" x14ac:dyDescent="0.3">
      <c r="A8" s="3" t="s">
        <v>10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</row>
    <row r="9" spans="1:13" ht="15.6" x14ac:dyDescent="0.3">
      <c r="A9" s="3" t="s">
        <v>39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</row>
    <row r="10" spans="1:13" ht="15.6" x14ac:dyDescent="0.3">
      <c r="A10" s="3" t="s">
        <v>11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</row>
    <row r="11" spans="1:13" ht="15.6" x14ac:dyDescent="0.3">
      <c r="A11" s="3" t="s">
        <v>33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</row>
    <row r="12" spans="1:13" ht="15.6" x14ac:dyDescent="0.3">
      <c r="A12" s="3" t="s">
        <v>20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</row>
    <row r="13" spans="1:13" ht="15.6" x14ac:dyDescent="0.3">
      <c r="A13" s="3" t="s">
        <v>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</row>
    <row r="14" spans="1:13" ht="15.6" x14ac:dyDescent="0.3">
      <c r="A14" s="3" t="s">
        <v>28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</row>
    <row r="15" spans="1:13" ht="15.6" x14ac:dyDescent="0.3">
      <c r="A15" s="3" t="s">
        <v>34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</row>
    <row r="16" spans="1:13" ht="15.6" x14ac:dyDescent="0.3">
      <c r="A16" s="3" t="s">
        <v>12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</row>
    <row r="17" spans="1:13" ht="15.6" x14ac:dyDescent="0.3">
      <c r="A17" s="3" t="s">
        <v>38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</row>
    <row r="18" spans="1:13" ht="15.6" x14ac:dyDescent="0.3">
      <c r="A18" s="3" t="s">
        <v>41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</row>
    <row r="19" spans="1:13" ht="15.6" x14ac:dyDescent="0.3">
      <c r="A19" s="3" t="s">
        <v>15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</row>
    <row r="20" spans="1:13" ht="15.6" x14ac:dyDescent="0.3">
      <c r="A20" s="3" t="s">
        <v>42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</row>
    <row r="21" spans="1:13" ht="15.6" x14ac:dyDescent="0.3">
      <c r="A21" s="3" t="s">
        <v>19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</row>
    <row r="22" spans="1:13" ht="15.6" x14ac:dyDescent="0.3">
      <c r="A22" s="3" t="s">
        <v>35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ht="15.6" x14ac:dyDescent="0.3">
      <c r="A23" s="3" t="s">
        <v>9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ht="15.6" x14ac:dyDescent="0.3">
      <c r="A24" s="3" t="s">
        <v>17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ht="15.6" x14ac:dyDescent="0.3">
      <c r="A25" s="3" t="s">
        <v>36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ht="15.6" x14ac:dyDescent="0.3">
      <c r="A26" s="3" t="s">
        <v>18</v>
      </c>
      <c r="B26" s="2">
        <v>1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1</v>
      </c>
    </row>
    <row r="27" spans="1:13" ht="15.6" x14ac:dyDescent="0.3">
      <c r="A27" s="3" t="s">
        <v>37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ht="15.6" x14ac:dyDescent="0.3">
      <c r="A28" s="3" t="s">
        <v>14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ht="15.6" x14ac:dyDescent="0.3">
      <c r="A29" s="3" t="s">
        <v>8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  <row r="30" spans="1:13" ht="15.6" x14ac:dyDescent="0.3">
      <c r="A30" s="3" t="s">
        <v>30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</row>
    <row r="31" spans="1:13" ht="15.6" x14ac:dyDescent="0.3">
      <c r="A31" s="3" t="s">
        <v>16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</row>
    <row r="32" spans="1:13" ht="15.6" x14ac:dyDescent="0.3">
      <c r="A32" s="3" t="s">
        <v>22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</row>
    <row r="33" spans="1:13" ht="15.6" x14ac:dyDescent="0.3">
      <c r="A33" s="3" t="s">
        <v>7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</row>
  </sheetData>
  <sortState xmlns:xlrd2="http://schemas.microsoft.com/office/spreadsheetml/2017/richdata2" ref="A2:M27">
    <sortCondition ref="A2:A27"/>
  </sortState>
  <conditionalFormatting sqref="B2:M8 B10:M2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M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M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M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M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clusters_distribution</vt:lpstr>
      <vt:lpstr>clusters_equipment</vt:lpstr>
      <vt:lpstr>clusters_equipment_multi</vt:lpstr>
      <vt:lpstr>monthly_usage_probability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Antonino (RSE)</dc:creator>
  <cp:lastModifiedBy>Rollo Antonino (RSE)</cp:lastModifiedBy>
  <dcterms:created xsi:type="dcterms:W3CDTF">2015-06-05T18:17:20Z</dcterms:created>
  <dcterms:modified xsi:type="dcterms:W3CDTF">2026-04-27T09:54:47Z</dcterms:modified>
</cp:coreProperties>
</file>